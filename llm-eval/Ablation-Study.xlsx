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llm-eval\"/>
    </mc:Choice>
  </mc:AlternateContent>
  <xr:revisionPtr revIDLastSave="0" documentId="13_ncr:1_{F7ACC824-E0A9-47E5-82C5-224FF75C9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8" i="1"/>
  <c r="I30" i="1"/>
  <c r="I29" i="1"/>
  <c r="I28" i="1"/>
  <c r="I27" i="1"/>
  <c r="I26" i="1"/>
  <c r="I25" i="1"/>
  <c r="I23" i="1"/>
  <c r="I22" i="1"/>
  <c r="I19" i="1"/>
  <c r="I2" i="1"/>
  <c r="I3" i="1"/>
  <c r="I7" i="1"/>
  <c r="I9" i="1"/>
  <c r="I4" i="1"/>
  <c r="I5" i="1"/>
  <c r="I6" i="1"/>
  <c r="I10" i="1"/>
  <c r="I11" i="1"/>
  <c r="I12" i="1"/>
  <c r="I13" i="1"/>
  <c r="I14" i="1"/>
</calcChain>
</file>

<file path=xl/sharedStrings.xml><?xml version="1.0" encoding="utf-8"?>
<sst xmlns="http://schemas.openxmlformats.org/spreadsheetml/2006/main" count="66" uniqueCount="17">
  <si>
    <t>without_CoT_Step_1_Understand_the_Core_Purpose</t>
    <phoneticPr fontId="1" type="noConversion"/>
  </si>
  <si>
    <t>java</t>
    <phoneticPr fontId="1" type="noConversion"/>
  </si>
  <si>
    <t>gpt</t>
    <phoneticPr fontId="1" type="noConversion"/>
  </si>
  <si>
    <t>deepseek</t>
    <phoneticPr fontId="1" type="noConversion"/>
  </si>
  <si>
    <t>deepseekcode</t>
    <phoneticPr fontId="1" type="noConversion"/>
  </si>
  <si>
    <t>qwen</t>
    <phoneticPr fontId="1" type="noConversion"/>
  </si>
  <si>
    <t>qwencode</t>
    <phoneticPr fontId="1" type="noConversion"/>
  </si>
  <si>
    <t>Without_CoT_Step_2_Identify_Key_Actions</t>
  </si>
  <si>
    <t>Without_CoT_Step_3_Determine_the_Target_Entity</t>
  </si>
  <si>
    <t>without_Method_Name_Summary_Generation</t>
  </si>
  <si>
    <t>python</t>
    <phoneticPr fontId="1" type="noConversion"/>
  </si>
  <si>
    <t xml:space="preserve">GPT-4o_SEMNP  </t>
    <phoneticPr fontId="1" type="noConversion"/>
  </si>
  <si>
    <t xml:space="preserve">GPT-4o_semantic-mediated naming   </t>
    <phoneticPr fontId="1" type="noConversion"/>
  </si>
  <si>
    <t xml:space="preserve">GPT-4o_SEMNP </t>
    <phoneticPr fontId="1" type="noConversion"/>
  </si>
  <si>
    <t xml:space="preserve">GPT-4o_semantic-mediated naming </t>
    <phoneticPr fontId="1" type="noConversion"/>
  </si>
  <si>
    <t>model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</si>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</sst>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常规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3" workbookViewId="0">
      <selection activeCell="K26" sqref="K26"/>
    </sheetView>
  </sheetViews>
  <sheetFormatPr defaultRowHeight="13.8" x14ac:dyDescent="0.25"/>
  <cols>
    <col min="2" max="2" width="48.6640625" bestFit="1" customWidth="1"/>
    <col min="3" max="3" width="6.88671875" bestFit="1" customWidth="1"/>
    <col min="4" max="4" width="7.5546875" customWidth="1"/>
    <col min="5" max="5" width="9.44140625" bestFit="1" customWidth="1"/>
    <col min="6" max="6" width="13.88671875" bestFit="1" customWidth="1"/>
    <col min="7" max="7" width="7.33203125" bestFit="1" customWidth="1"/>
    <col min="8" max="8" width="10.33203125" bestFit="1" customWidth="1"/>
    <col min="9" max="9" width="8.109375" bestFit="1" customWidth="1"/>
  </cols>
  <sheetData>
    <row r="1" spans="1:9" x14ac:dyDescent="0.25"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</row>
    <row r="2" spans="1:9" x14ac:dyDescent="0.25">
      <c r="B2" t="s">
        <v>14</v>
      </c>
      <c r="C2" t="s">
        <v>2</v>
      </c>
      <c r="D2" s="1">
        <v>4.37</v>
      </c>
      <c r="E2" s="1">
        <v>3.89</v>
      </c>
      <c r="F2" s="1">
        <v>3.9</v>
      </c>
      <c r="G2" s="1">
        <v>3.76</v>
      </c>
      <c r="H2" s="1">
        <v>3.78</v>
      </c>
      <c r="I2" s="1">
        <f t="shared" ref="I2:I14" si="0">AVERAGE(D2:H2)</f>
        <v>3.94</v>
      </c>
    </row>
    <row r="3" spans="1:9" x14ac:dyDescent="0.25">
      <c r="A3" t="s">
        <v>1</v>
      </c>
      <c r="B3" t="s">
        <v>9</v>
      </c>
      <c r="C3" t="s">
        <v>2</v>
      </c>
      <c r="D3" s="1">
        <v>4.34</v>
      </c>
      <c r="E3" s="1">
        <v>3.895</v>
      </c>
      <c r="F3" s="1">
        <v>3.91</v>
      </c>
      <c r="G3" s="1">
        <v>3.76</v>
      </c>
      <c r="H3" s="1">
        <v>3.7949999999999999</v>
      </c>
      <c r="I3" s="1">
        <f t="shared" si="0"/>
        <v>3.94</v>
      </c>
    </row>
    <row r="4" spans="1:9" x14ac:dyDescent="0.25">
      <c r="B4" t="s">
        <v>0</v>
      </c>
      <c r="C4" t="s">
        <v>2</v>
      </c>
      <c r="D4" s="1">
        <v>4.3099999999999996</v>
      </c>
      <c r="E4" s="1">
        <v>3.81</v>
      </c>
      <c r="F4" s="1">
        <v>3.9350000000000001</v>
      </c>
      <c r="G4" s="1">
        <v>3.7149999999999999</v>
      </c>
      <c r="H4" s="1">
        <v>3.8</v>
      </c>
      <c r="I4" s="1">
        <f t="shared" si="0"/>
        <v>3.9140000000000001</v>
      </c>
    </row>
    <row r="5" spans="1:9" x14ac:dyDescent="0.25">
      <c r="B5" t="s">
        <v>7</v>
      </c>
      <c r="C5" t="s">
        <v>2</v>
      </c>
      <c r="D5" s="1">
        <v>4.3150000000000004</v>
      </c>
      <c r="E5" s="1">
        <v>3.78</v>
      </c>
      <c r="F5" s="1">
        <v>3.89</v>
      </c>
      <c r="G5" s="1">
        <v>3.63</v>
      </c>
      <c r="H5" s="1">
        <v>3.76</v>
      </c>
      <c r="I5" s="1">
        <f t="shared" si="0"/>
        <v>3.875</v>
      </c>
    </row>
    <row r="6" spans="1:9" x14ac:dyDescent="0.25">
      <c r="B6" t="s">
        <v>8</v>
      </c>
      <c r="C6" t="s">
        <v>2</v>
      </c>
      <c r="D6" s="1">
        <v>4.3600000000000003</v>
      </c>
      <c r="E6" s="1">
        <v>3.855</v>
      </c>
      <c r="F6" s="1">
        <v>3.9</v>
      </c>
      <c r="G6" s="1">
        <v>3.7050000000000001</v>
      </c>
      <c r="H6" s="1">
        <v>3.7749999999999999</v>
      </c>
      <c r="I6" s="1">
        <f t="shared" si="0"/>
        <v>3.9189999999999996</v>
      </c>
    </row>
    <row r="7" spans="1:9" x14ac:dyDescent="0.25">
      <c r="B7" t="s">
        <v>13</v>
      </c>
      <c r="C7" t="s">
        <v>2</v>
      </c>
      <c r="D7" s="1">
        <v>4.38</v>
      </c>
      <c r="E7" s="1">
        <v>4.17</v>
      </c>
      <c r="F7" s="1">
        <v>3.92</v>
      </c>
      <c r="G7" s="1">
        <v>4.07</v>
      </c>
      <c r="H7" s="1">
        <v>4.2</v>
      </c>
      <c r="I7" s="1">
        <f t="shared" si="0"/>
        <v>4.1479999999999997</v>
      </c>
    </row>
    <row r="8" spans="1:9" x14ac:dyDescent="0.25">
      <c r="D8" s="1"/>
      <c r="E8" s="1"/>
      <c r="F8" s="1"/>
      <c r="G8" s="1"/>
      <c r="H8" s="1"/>
      <c r="I8" s="1"/>
    </row>
    <row r="9" spans="1:9" x14ac:dyDescent="0.25">
      <c r="B9" t="s">
        <v>12</v>
      </c>
      <c r="C9" t="s">
        <v>2</v>
      </c>
      <c r="D9" s="1">
        <v>4.3600000000000003</v>
      </c>
      <c r="E9" s="1">
        <v>3.85</v>
      </c>
      <c r="F9" s="1">
        <v>3.94</v>
      </c>
      <c r="G9" s="1">
        <v>3.76</v>
      </c>
      <c r="H9" s="1">
        <v>3.87</v>
      </c>
      <c r="I9" s="1">
        <f t="shared" si="0"/>
        <v>3.9560000000000004</v>
      </c>
    </row>
    <row r="10" spans="1:9" x14ac:dyDescent="0.25">
      <c r="A10" t="s">
        <v>10</v>
      </c>
      <c r="B10" t="s">
        <v>9</v>
      </c>
      <c r="C10" t="s">
        <v>2</v>
      </c>
      <c r="D10" s="1">
        <v>4.2750000000000004</v>
      </c>
      <c r="E10" s="1">
        <v>3.86</v>
      </c>
      <c r="F10" s="1">
        <v>3.97</v>
      </c>
      <c r="G10" s="1">
        <v>3.7949999999999999</v>
      </c>
      <c r="H10" s="1">
        <v>3.8050000000000002</v>
      </c>
      <c r="I10" s="1">
        <f t="shared" si="0"/>
        <v>3.9410000000000003</v>
      </c>
    </row>
    <row r="11" spans="1:9" x14ac:dyDescent="0.25">
      <c r="B11" t="s">
        <v>0</v>
      </c>
      <c r="C11" t="s">
        <v>2</v>
      </c>
      <c r="D11" s="1">
        <v>4.2300000000000004</v>
      </c>
      <c r="E11" s="1">
        <v>3.82</v>
      </c>
      <c r="F11" s="1">
        <v>3.915</v>
      </c>
      <c r="G11" s="1">
        <v>3.63</v>
      </c>
      <c r="H11" s="1">
        <v>3.7450000000000001</v>
      </c>
      <c r="I11" s="1">
        <f t="shared" si="0"/>
        <v>3.8679999999999999</v>
      </c>
    </row>
    <row r="12" spans="1:9" x14ac:dyDescent="0.25">
      <c r="B12" t="s">
        <v>7</v>
      </c>
      <c r="C12" t="s">
        <v>2</v>
      </c>
      <c r="D12" s="1">
        <v>4.2699999999999996</v>
      </c>
      <c r="E12" s="1">
        <v>3.86</v>
      </c>
      <c r="F12" s="1">
        <v>3.9649999999999999</v>
      </c>
      <c r="G12" s="1">
        <v>3.75</v>
      </c>
      <c r="H12" s="1">
        <v>3.81</v>
      </c>
      <c r="I12" s="1">
        <f t="shared" si="0"/>
        <v>3.9309999999999996</v>
      </c>
    </row>
    <row r="13" spans="1:9" x14ac:dyDescent="0.25">
      <c r="B13" t="s">
        <v>8</v>
      </c>
      <c r="C13" t="s">
        <v>2</v>
      </c>
      <c r="D13" s="1">
        <v>4.3</v>
      </c>
      <c r="E13" s="1">
        <v>3.87</v>
      </c>
      <c r="F13" s="1">
        <v>3.875</v>
      </c>
      <c r="G13" s="1">
        <v>3.69</v>
      </c>
      <c r="H13" s="1">
        <v>3.78</v>
      </c>
      <c r="I13" s="1">
        <f t="shared" si="0"/>
        <v>3.903</v>
      </c>
    </row>
    <row r="14" spans="1:9" x14ac:dyDescent="0.25">
      <c r="B14" t="s">
        <v>11</v>
      </c>
      <c r="C14" t="s">
        <v>2</v>
      </c>
      <c r="D14" s="1">
        <v>4.47</v>
      </c>
      <c r="E14" s="1">
        <v>4.1500000000000004</v>
      </c>
      <c r="F14" s="1">
        <v>4.03</v>
      </c>
      <c r="G14" s="1">
        <v>4.07</v>
      </c>
      <c r="H14" s="1">
        <v>4.22</v>
      </c>
      <c r="I14" s="1">
        <f t="shared" si="0"/>
        <v>4.1880000000000006</v>
      </c>
    </row>
    <row r="17" spans="1:9" x14ac:dyDescent="0.25">
      <c r="C17" t="s">
        <v>15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16</v>
      </c>
    </row>
    <row r="18" spans="1:9" x14ac:dyDescent="0.25">
      <c r="B18" t="s">
        <v>14</v>
      </c>
      <c r="C18" t="s">
        <v>2</v>
      </c>
      <c r="D18" s="1">
        <v>4.37</v>
      </c>
      <c r="E18" s="1">
        <v>3.89</v>
      </c>
      <c r="F18" s="1">
        <v>3.9</v>
      </c>
      <c r="G18" s="1">
        <v>3.76</v>
      </c>
      <c r="H18" s="1">
        <v>3.78</v>
      </c>
      <c r="I18" s="1">
        <f>AVERAGE(D18:H18)</f>
        <v>3.94</v>
      </c>
    </row>
    <row r="19" spans="1:9" x14ac:dyDescent="0.25">
      <c r="A19" t="s">
        <v>1</v>
      </c>
      <c r="B19" t="s">
        <v>9</v>
      </c>
      <c r="C19" t="s">
        <v>2</v>
      </c>
      <c r="D19" s="1">
        <v>4.34</v>
      </c>
      <c r="E19" s="1">
        <v>3.895</v>
      </c>
      <c r="F19" s="1">
        <v>3.91</v>
      </c>
      <c r="G19" s="1">
        <v>3.76</v>
      </c>
      <c r="H19" s="1">
        <v>3.7949999999999999</v>
      </c>
      <c r="I19" s="1">
        <f t="shared" ref="I19:I23" si="1">AVERAGE(D19:H19)</f>
        <v>3.94</v>
      </c>
    </row>
    <row r="20" spans="1:9" x14ac:dyDescent="0.25">
      <c r="B20" t="s">
        <v>0</v>
      </c>
      <c r="C20" t="s">
        <v>2</v>
      </c>
      <c r="D20" s="1">
        <v>4.2850000000000001</v>
      </c>
      <c r="E20">
        <v>3.86</v>
      </c>
      <c r="F20" s="1">
        <v>3.91</v>
      </c>
      <c r="G20" s="1">
        <v>3.7749999999999999</v>
      </c>
      <c r="H20">
        <v>3.73</v>
      </c>
      <c r="I20" s="1">
        <f>AVERAGE(D20:H20)</f>
        <v>3.9119999999999999</v>
      </c>
    </row>
    <row r="21" spans="1:9" x14ac:dyDescent="0.25">
      <c r="B21" t="s">
        <v>7</v>
      </c>
      <c r="C21" t="s">
        <v>2</v>
      </c>
      <c r="D21" s="1">
        <v>4.3150000000000004</v>
      </c>
      <c r="E21" s="1">
        <v>3.78</v>
      </c>
      <c r="F21" s="1">
        <v>3.89</v>
      </c>
      <c r="G21" s="1">
        <v>3.63</v>
      </c>
      <c r="H21" s="1">
        <v>3.76</v>
      </c>
      <c r="I21" s="1">
        <f>AVERAGE(D21:H21)</f>
        <v>3.875</v>
      </c>
    </row>
    <row r="22" spans="1:9" x14ac:dyDescent="0.25">
      <c r="B22" t="s">
        <v>8</v>
      </c>
      <c r="C22" t="s">
        <v>2</v>
      </c>
      <c r="D22" s="1">
        <v>4.3600000000000003</v>
      </c>
      <c r="E22" s="1">
        <v>3.855</v>
      </c>
      <c r="F22" s="1">
        <v>3.9</v>
      </c>
      <c r="G22" s="1">
        <v>3.7050000000000001</v>
      </c>
      <c r="H22" s="1">
        <v>3.7749999999999999</v>
      </c>
      <c r="I22" s="1">
        <f t="shared" si="1"/>
        <v>3.9189999999999996</v>
      </c>
    </row>
    <row r="23" spans="1:9" x14ac:dyDescent="0.25">
      <c r="B23" t="s">
        <v>13</v>
      </c>
      <c r="C23" t="s">
        <v>2</v>
      </c>
      <c r="D23" s="1">
        <v>4.38</v>
      </c>
      <c r="E23" s="1">
        <v>4.17</v>
      </c>
      <c r="F23" s="1">
        <v>3.92</v>
      </c>
      <c r="G23" s="1">
        <v>4.07</v>
      </c>
      <c r="H23" s="1">
        <v>4.2</v>
      </c>
      <c r="I23" s="1">
        <f t="shared" si="1"/>
        <v>4.1479999999999997</v>
      </c>
    </row>
    <row r="24" spans="1:9" x14ac:dyDescent="0.25">
      <c r="D24" s="1"/>
      <c r="E24" s="1"/>
      <c r="F24" s="1"/>
      <c r="G24" s="1"/>
      <c r="H24" s="1"/>
    </row>
    <row r="25" spans="1:9" x14ac:dyDescent="0.25">
      <c r="B25" t="s">
        <v>12</v>
      </c>
      <c r="C25" t="s">
        <v>2</v>
      </c>
      <c r="D25" s="1">
        <v>4.3600000000000003</v>
      </c>
      <c r="E25" s="1">
        <v>3.85</v>
      </c>
      <c r="F25" s="1">
        <v>3.94</v>
      </c>
      <c r="G25" s="1">
        <v>3.76</v>
      </c>
      <c r="H25" s="1">
        <v>3.87</v>
      </c>
      <c r="I25" s="1">
        <f t="shared" ref="I25:I30" si="2">AVERAGE(D25:H25)</f>
        <v>3.9560000000000004</v>
      </c>
    </row>
    <row r="26" spans="1:9" x14ac:dyDescent="0.25">
      <c r="A26" t="s">
        <v>10</v>
      </c>
      <c r="B26" t="s">
        <v>9</v>
      </c>
      <c r="C26" t="s">
        <v>2</v>
      </c>
      <c r="D26" s="1">
        <v>4.2750000000000004</v>
      </c>
      <c r="E26" s="1">
        <v>3.86</v>
      </c>
      <c r="F26" s="1">
        <v>3.97</v>
      </c>
      <c r="G26" s="1">
        <v>3.7949999999999999</v>
      </c>
      <c r="H26" s="1">
        <v>3.8050000000000002</v>
      </c>
      <c r="I26" s="1">
        <f t="shared" si="2"/>
        <v>3.9410000000000003</v>
      </c>
    </row>
    <row r="27" spans="1:9" x14ac:dyDescent="0.25">
      <c r="B27" t="s">
        <v>0</v>
      </c>
      <c r="C27" t="s">
        <v>2</v>
      </c>
      <c r="D27" s="1">
        <v>4.2300000000000004</v>
      </c>
      <c r="E27" s="1">
        <v>3.82</v>
      </c>
      <c r="F27" s="2">
        <v>3.915</v>
      </c>
      <c r="G27" s="2">
        <v>3.63</v>
      </c>
      <c r="H27" s="2">
        <v>3.7450000000000001</v>
      </c>
      <c r="I27" s="2">
        <f t="shared" si="2"/>
        <v>3.8679999999999999</v>
      </c>
    </row>
    <row r="28" spans="1:9" x14ac:dyDescent="0.25">
      <c r="B28" t="s">
        <v>7</v>
      </c>
      <c r="C28" t="s">
        <v>2</v>
      </c>
      <c r="D28" s="1">
        <v>4.2699999999999996</v>
      </c>
      <c r="E28" s="1">
        <v>3.86</v>
      </c>
      <c r="F28" s="1">
        <v>3.9649999999999999</v>
      </c>
      <c r="G28" s="1">
        <v>3.75</v>
      </c>
      <c r="H28" s="1">
        <v>3.81</v>
      </c>
      <c r="I28" s="1">
        <f t="shared" si="2"/>
        <v>3.9309999999999996</v>
      </c>
    </row>
    <row r="29" spans="1:9" x14ac:dyDescent="0.25">
      <c r="B29" t="s">
        <v>8</v>
      </c>
      <c r="C29" t="s">
        <v>2</v>
      </c>
      <c r="D29" s="1">
        <v>4.3</v>
      </c>
      <c r="E29" s="1">
        <v>3.87</v>
      </c>
      <c r="F29" s="1">
        <v>3.875</v>
      </c>
      <c r="G29" s="1">
        <v>3.69</v>
      </c>
      <c r="H29" s="1">
        <v>3.78</v>
      </c>
      <c r="I29" s="1">
        <f t="shared" si="2"/>
        <v>3.903</v>
      </c>
    </row>
    <row r="30" spans="1:9" x14ac:dyDescent="0.25">
      <c r="B30" t="s">
        <v>11</v>
      </c>
      <c r="C30" t="s">
        <v>2</v>
      </c>
      <c r="D30" s="1">
        <v>4.47</v>
      </c>
      <c r="E30" s="1">
        <v>4.1500000000000004</v>
      </c>
      <c r="F30" s="1">
        <v>4.03</v>
      </c>
      <c r="G30" s="1">
        <v>4.07</v>
      </c>
      <c r="H30" s="1">
        <v>4.22</v>
      </c>
      <c r="I30" s="1">
        <f t="shared" si="2"/>
        <v>4.1880000000000006</v>
      </c>
    </row>
  </sheetData>
  <phoneticPr fontId="1" type="noConversion"/>
  <conditionalFormatting sqref="D18:D23">
    <cfRule type="top10" dxfId="38" priority="20" rank="1"/>
    <cfRule type="top10" dxfId="37" priority="8" percent="1" bottom="1" rank="1"/>
  </conditionalFormatting>
  <conditionalFormatting sqref="D25:D30">
    <cfRule type="top10" dxfId="36" priority="2" bottom="1" rank="1"/>
    <cfRule type="top10" dxfId="35" priority="14" rank="1"/>
  </conditionalFormatting>
  <conditionalFormatting sqref="D3:E6">
    <cfRule type="cellIs" dxfId="34" priority="37" operator="equal">
      <formula>0</formula>
    </cfRule>
  </conditionalFormatting>
  <conditionalFormatting sqref="D19:E22">
    <cfRule type="cellIs" dxfId="33" priority="25" operator="equal">
      <formula>0</formula>
    </cfRule>
  </conditionalFormatting>
  <conditionalFormatting sqref="E10">
    <cfRule type="cellIs" dxfId="32" priority="62" operator="equal">
      <formula>0</formula>
    </cfRule>
  </conditionalFormatting>
  <conditionalFormatting sqref="E12:E13">
    <cfRule type="cellIs" dxfId="31" priority="60" operator="equal">
      <formula>0</formula>
    </cfRule>
  </conditionalFormatting>
  <conditionalFormatting sqref="E18:E23">
    <cfRule type="top10" dxfId="30" priority="7" percent="1" bottom="1" rank="1"/>
    <cfRule type="top10" dxfId="29" priority="19" rank="1"/>
  </conditionalFormatting>
  <conditionalFormatting sqref="E25:E30">
    <cfRule type="top10" dxfId="28" priority="13" rank="1"/>
    <cfRule type="top10" dxfId="27" priority="1" percent="1" bottom="1" rank="1"/>
  </conditionalFormatting>
  <conditionalFormatting sqref="E26">
    <cfRule type="cellIs" dxfId="26" priority="31" operator="equal">
      <formula>0</formula>
    </cfRule>
  </conditionalFormatting>
  <conditionalFormatting sqref="E28:E29">
    <cfRule type="cellIs" dxfId="25" priority="30" operator="equal">
      <formula>0</formula>
    </cfRule>
  </conditionalFormatting>
  <conditionalFormatting sqref="F13">
    <cfRule type="cellIs" dxfId="24" priority="32" operator="equal">
      <formula>0</formula>
    </cfRule>
  </conditionalFormatting>
  <conditionalFormatting sqref="F18:F23">
    <cfRule type="top10" dxfId="23" priority="6" percent="1" bottom="1" rank="1"/>
    <cfRule type="top10" dxfId="22" priority="18" rank="1"/>
  </conditionalFormatting>
  <conditionalFormatting sqref="F25:F30">
    <cfRule type="top10" dxfId="21" priority="12" rank="1"/>
  </conditionalFormatting>
  <conditionalFormatting sqref="F29">
    <cfRule type="cellIs" dxfId="20" priority="23" operator="equal">
      <formula>0</formula>
    </cfRule>
  </conditionalFormatting>
  <conditionalFormatting sqref="G10:G14">
    <cfRule type="cellIs" dxfId="19" priority="55" operator="equal">
      <formula>0</formula>
    </cfRule>
  </conditionalFormatting>
  <conditionalFormatting sqref="G18:G23">
    <cfRule type="top10" dxfId="18" priority="5" percent="1" bottom="1" rank="1"/>
    <cfRule type="top10" dxfId="17" priority="17" rank="1"/>
  </conditionalFormatting>
  <conditionalFormatting sqref="G25:G30">
    <cfRule type="top10" dxfId="16" priority="11" rank="1"/>
  </conditionalFormatting>
  <conditionalFormatting sqref="G26:G30">
    <cfRule type="cellIs" dxfId="15" priority="29" operator="equal">
      <formula>0</formula>
    </cfRule>
  </conditionalFormatting>
  <conditionalFormatting sqref="G3:H6">
    <cfRule type="cellIs" dxfId="14" priority="33" operator="equal">
      <formula>0</formula>
    </cfRule>
  </conditionalFormatting>
  <conditionalFormatting sqref="G19:H22">
    <cfRule type="cellIs" dxfId="13" priority="22" operator="equal">
      <formula>0</formula>
    </cfRule>
  </conditionalFormatting>
  <conditionalFormatting sqref="H10">
    <cfRule type="cellIs" dxfId="12" priority="53" operator="equal">
      <formula>0</formula>
    </cfRule>
  </conditionalFormatting>
  <conditionalFormatting sqref="H12:H13">
    <cfRule type="cellIs" dxfId="11" priority="51" operator="equal">
      <formula>0</formula>
    </cfRule>
  </conditionalFormatting>
  <conditionalFormatting sqref="H18:H23">
    <cfRule type="top10" dxfId="10" priority="4" percent="1" bottom="1" rank="1"/>
    <cfRule type="top10" dxfId="9" priority="16" rank="1"/>
  </conditionalFormatting>
  <conditionalFormatting sqref="H20">
    <cfRule type="cellIs" dxfId="8" priority="21" operator="greaterThan">
      <formula>5</formula>
    </cfRule>
  </conditionalFormatting>
  <conditionalFormatting sqref="H25:H30">
    <cfRule type="top10" dxfId="7" priority="10" rank="1"/>
  </conditionalFormatting>
  <conditionalFormatting sqref="H26">
    <cfRule type="cellIs" dxfId="6" priority="28" operator="equal">
      <formula>0</formula>
    </cfRule>
  </conditionalFormatting>
  <conditionalFormatting sqref="H28:H29">
    <cfRule type="cellIs" dxfId="5" priority="27" operator="equal">
      <formula>0</formula>
    </cfRule>
  </conditionalFormatting>
  <conditionalFormatting sqref="I2:I13 H14:I14">
    <cfRule type="cellIs" dxfId="4" priority="47" operator="equal">
      <formula>0</formula>
    </cfRule>
  </conditionalFormatting>
  <conditionalFormatting sqref="I18:I23 I25:I29 H30:I30">
    <cfRule type="cellIs" dxfId="3" priority="26" operator="equal">
      <formula>0</formula>
    </cfRule>
  </conditionalFormatting>
  <conditionalFormatting sqref="I18:I23">
    <cfRule type="top10" dxfId="2" priority="3" percent="1" bottom="1" rank="1"/>
    <cfRule type="top10" dxfId="1" priority="15" rank="1"/>
  </conditionalFormatting>
  <conditionalFormatting sqref="I25:I30">
    <cfRule type="top10" dxfId="0" priority="9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2026-06-12T08:38:18Z</dcterms:modified>
</cp:coreProperties>
</file>